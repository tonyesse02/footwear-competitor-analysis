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Pri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  <col width="18" customWidth="1" min="5" max="5"/>
    <col width="12" customWidth="1" min="6" max="6"/>
    <col width="10" customWidth="1" min="7" max="7"/>
    <col width="30" customWidth="1" min="8" max="8"/>
    <col width="10" customWidth="1" min="9" max="9"/>
    <col width="50" customWidth="1" min="10" max="10"/>
    <col width="20" customWidth="1" min="11" max="11"/>
  </cols>
  <sheetData>
    <row r="1" ht="22" customHeight="1">
      <c r="A1" s="1" t="inlineStr">
        <is>
          <t>Brand</t>
        </is>
      </c>
      <c r="B1" s="1" t="inlineStr">
        <is>
          <t>Modello</t>
        </is>
      </c>
      <c r="C1" s="1" t="inlineStr">
        <is>
          <t>Categoria URL</t>
        </is>
      </c>
      <c r="D1" s="1" t="inlineStr">
        <is>
          <t>Categoria</t>
        </is>
      </c>
      <c r="E1" s="1" t="inlineStr">
        <is>
          <t>Sottocategoria</t>
        </is>
      </c>
      <c r="F1" s="1" t="inlineStr">
        <is>
          <t>Prezzo (€)</t>
        </is>
      </c>
      <c r="G1" s="1" t="inlineStr">
        <is>
          <t>N. Colori</t>
        </is>
      </c>
      <c r="H1" s="1" t="inlineStr">
        <is>
          <t>Taglie</t>
        </is>
      </c>
      <c r="I1" s="1" t="inlineStr">
        <is>
          <t>N. Taglie</t>
        </is>
      </c>
      <c r="J1" s="1" t="inlineStr">
        <is>
          <t>URL Prodotto</t>
        </is>
      </c>
      <c r="K1" s="1" t="inlineStr">
        <is>
          <t>Data Rilevazione</t>
        </is>
      </c>
    </row>
    <row r="2">
      <c r="A2" s="2" t="inlineStr">
        <is>
          <t>Diadora</t>
        </is>
      </c>
      <c r="B2" s="2" t="inlineStr">
        <is>
          <t>B.Elite</t>
        </is>
      </c>
      <c r="C2" s="2" t="inlineStr">
        <is>
          <t>Sneakers</t>
        </is>
      </c>
      <c r="D2" s="2" t="inlineStr">
        <is>
          <t>Sneakers</t>
        </is>
      </c>
      <c r="E2" s="2" t="inlineStr">
        <is>
          <t>Retro/Heritage</t>
        </is>
      </c>
      <c r="F2" s="2" t="n">
        <v>89.95</v>
      </c>
      <c r="G2" s="2" t="n">
        <v>3</v>
      </c>
      <c r="H2" s="2" t="inlineStr">
        <is>
          <t>40,41,42,43,44,45</t>
        </is>
      </c>
      <c r="I2" s="2" t="n">
        <v>6</v>
      </c>
      <c r="J2" s="2" t="inlineStr">
        <is>
          <t>https://www.diadora.com/it/it/b-elite</t>
        </is>
      </c>
      <c r="K2" s="2" t="inlineStr">
        <is>
          <t>2024-11-15 14:32</t>
        </is>
      </c>
    </row>
    <row r="3">
      <c r="A3" s="3" t="inlineStr">
        <is>
          <t>Diadora</t>
        </is>
      </c>
      <c r="B3" s="3" t="inlineStr">
        <is>
          <t>N9000</t>
        </is>
      </c>
      <c r="C3" s="3" t="inlineStr">
        <is>
          <t>Sneakers</t>
        </is>
      </c>
      <c r="D3" s="3" t="inlineStr">
        <is>
          <t>Sneakers</t>
        </is>
      </c>
      <c r="E3" s="3" t="inlineStr">
        <is>
          <t>Retro/Heritage</t>
        </is>
      </c>
      <c r="F3" s="3" t="n">
        <v>109.95</v>
      </c>
      <c r="G3" s="3" t="n">
        <v>4</v>
      </c>
      <c r="H3" s="3" t="inlineStr">
        <is>
          <t>39,40,41,42,43,44</t>
        </is>
      </c>
      <c r="I3" s="3" t="n">
        <v>6</v>
      </c>
      <c r="J3" s="3" t="inlineStr">
        <is>
          <t>https://www.diadora.com/it/it/n9000</t>
        </is>
      </c>
      <c r="K3" s="3" t="inlineStr">
        <is>
          <t>2024-11-15 14:33</t>
        </is>
      </c>
    </row>
    <row r="4">
      <c r="A4" s="2" t="inlineStr">
        <is>
          <t>Diadora</t>
        </is>
      </c>
      <c r="B4" s="2" t="inlineStr">
        <is>
          <t>Mythos Blushield</t>
        </is>
      </c>
      <c r="C4" s="2" t="inlineStr">
        <is>
          <t>Running</t>
        </is>
      </c>
      <c r="D4" s="2" t="inlineStr">
        <is>
          <t>Running</t>
        </is>
      </c>
      <c r="E4" s="2" t="inlineStr">
        <is>
          <t>Strada</t>
        </is>
      </c>
      <c r="F4" s="2" t="n">
        <v>129.95</v>
      </c>
      <c r="G4" s="2" t="n">
        <v>2</v>
      </c>
      <c r="H4" s="2" t="inlineStr">
        <is>
          <t>40,41,42,43,44,45,46</t>
        </is>
      </c>
      <c r="I4" s="2" t="n">
        <v>7</v>
      </c>
      <c r="J4" s="2" t="inlineStr">
        <is>
          <t>https://www.diadora.com/it/it/mythos</t>
        </is>
      </c>
      <c r="K4" s="2" t="inlineStr">
        <is>
          <t>2024-11-15 14:35</t>
        </is>
      </c>
    </row>
    <row r="5">
      <c r="A5" s="3" t="inlineStr">
        <is>
          <t>Diadora</t>
        </is>
      </c>
      <c r="B5" s="3" t="inlineStr">
        <is>
          <t>Pichola</t>
        </is>
      </c>
      <c r="C5" s="3" t="inlineStr">
        <is>
          <t>Running</t>
        </is>
      </c>
      <c r="D5" s="3" t="inlineStr">
        <is>
          <t>Running</t>
        </is>
      </c>
      <c r="E5" s="3" t="inlineStr">
        <is>
          <t>Allenamento</t>
        </is>
      </c>
      <c r="F5" s="3" t="n">
        <v>89.95</v>
      </c>
      <c r="G5" s="3" t="n">
        <v>3</v>
      </c>
      <c r="H5" s="3" t="inlineStr">
        <is>
          <t>39,40,41,42,43,44</t>
        </is>
      </c>
      <c r="I5" s="3" t="n">
        <v>6</v>
      </c>
      <c r="J5" s="3" t="inlineStr">
        <is>
          <t>https://www.diadora.com/it/it/pichola</t>
        </is>
      </c>
      <c r="K5" s="3" t="inlineStr">
        <is>
          <t>2024-11-15 14:36</t>
        </is>
      </c>
    </row>
    <row r="6">
      <c r="A6" s="2" t="inlineStr">
        <is>
          <t>Diadora</t>
        </is>
      </c>
      <c r="B6" s="2" t="inlineStr">
        <is>
          <t>Brasil Elite</t>
        </is>
      </c>
      <c r="C6" s="2" t="inlineStr">
        <is>
          <t>Calcio</t>
        </is>
      </c>
      <c r="D6" s="2" t="inlineStr">
        <is>
          <t>Calcio</t>
        </is>
      </c>
      <c r="E6" s="2" t="inlineStr">
        <is>
          <t>Terreno Naturale</t>
        </is>
      </c>
      <c r="F6" s="2" t="n">
        <v>74.95</v>
      </c>
      <c r="G6" s="2" t="n">
        <v>2</v>
      </c>
      <c r="H6" s="2" t="inlineStr">
        <is>
          <t>38,39,40,41,42,43,44,45</t>
        </is>
      </c>
      <c r="I6" s="2" t="n">
        <v>8</v>
      </c>
      <c r="J6" s="2" t="inlineStr">
        <is>
          <t>https://www.diadora.com/it/it/brasil-elite</t>
        </is>
      </c>
      <c r="K6" s="2" t="inlineStr">
        <is>
          <t>2024-11-15 14:38</t>
        </is>
      </c>
    </row>
    <row r="7">
      <c r="A7" s="3" t="inlineStr">
        <is>
          <t>Diadora</t>
        </is>
      </c>
      <c r="B7" s="3" t="inlineStr">
        <is>
          <t>DD-NA 4 R LPX</t>
        </is>
      </c>
      <c r="C7" s="3" t="inlineStr">
        <is>
          <t>Calcio</t>
        </is>
      </c>
      <c r="D7" s="3" t="inlineStr">
        <is>
          <t>Calcio</t>
        </is>
      </c>
      <c r="E7" s="3" t="inlineStr">
        <is>
          <t>Indoor</t>
        </is>
      </c>
      <c r="F7" s="3" t="n">
        <v>64.95</v>
      </c>
      <c r="G7" s="3" t="n">
        <v>1</v>
      </c>
      <c r="H7" s="3" t="inlineStr">
        <is>
          <t>38,39,40,41,42,43</t>
        </is>
      </c>
      <c r="I7" s="3" t="n">
        <v>6</v>
      </c>
      <c r="J7" s="3" t="inlineStr">
        <is>
          <t>https://www.diadora.com/it/it/ddna</t>
        </is>
      </c>
      <c r="K7" s="3" t="inlineStr">
        <is>
          <t>2024-11-15 14:39</t>
        </is>
      </c>
    </row>
    <row r="8">
      <c r="A8" s="2" t="inlineStr">
        <is>
          <t>Diadora</t>
        </is>
      </c>
      <c r="B8" s="2" t="inlineStr">
        <is>
          <t>Slide</t>
        </is>
      </c>
      <c r="C8" s="2" t="inlineStr">
        <is>
          <t>Sandali</t>
        </is>
      </c>
      <c r="D8" s="2" t="inlineStr">
        <is>
          <t>Sandali</t>
        </is>
      </c>
      <c r="E8" s="2" t="inlineStr">
        <is>
          <t>Slides</t>
        </is>
      </c>
      <c r="F8" s="2" t="n">
        <v>34.95</v>
      </c>
      <c r="G8" s="2" t="n">
        <v>3</v>
      </c>
      <c r="H8" s="2" t="inlineStr">
        <is>
          <t>38,39,40,41,42,43,44,45</t>
        </is>
      </c>
      <c r="I8" s="2" t="n">
        <v>8</v>
      </c>
      <c r="J8" s="2" t="inlineStr">
        <is>
          <t>https://www.diadora.com/it/it/slide</t>
        </is>
      </c>
      <c r="K8" s="2" t="inlineStr">
        <is>
          <t>2024-11-15 14:40</t>
        </is>
      </c>
    </row>
    <row r="9">
      <c r="A9" s="3" t="inlineStr">
        <is>
          <t>Nike</t>
        </is>
      </c>
      <c r="B9" s="3" t="inlineStr">
        <is>
          <t>Air Force 1</t>
        </is>
      </c>
      <c r="C9" s="3" t="inlineStr">
        <is>
          <t>Sneakers</t>
        </is>
      </c>
      <c r="D9" s="3" t="inlineStr">
        <is>
          <t>Sneakers</t>
        </is>
      </c>
      <c r="E9" s="3" t="inlineStr">
        <is>
          <t>Retro/Heritage</t>
        </is>
      </c>
      <c r="F9" s="3" t="n">
        <v>119.95</v>
      </c>
      <c r="G9" s="3" t="n">
        <v>8</v>
      </c>
      <c r="H9" s="3" t="inlineStr">
        <is>
          <t>36,37,38,39,40,41,42,43,44,45</t>
        </is>
      </c>
      <c r="I9" s="3" t="n">
        <v>10</v>
      </c>
      <c r="J9" s="3" t="inlineStr">
        <is>
          <t>https://www.nike.com/it/air-force-1</t>
        </is>
      </c>
      <c r="K9" s="3" t="inlineStr">
        <is>
          <t>2024-11-15 15:00</t>
        </is>
      </c>
    </row>
    <row r="10">
      <c r="A10" s="2" t="inlineStr">
        <is>
          <t>Nike</t>
        </is>
      </c>
      <c r="B10" s="2" t="inlineStr">
        <is>
          <t>Air Max 90</t>
        </is>
      </c>
      <c r="C10" s="2" t="inlineStr">
        <is>
          <t>Sneakers</t>
        </is>
      </c>
      <c r="D10" s="2" t="inlineStr">
        <is>
          <t>Sneakers</t>
        </is>
      </c>
      <c r="E10" s="2" t="inlineStr">
        <is>
          <t>Retro/Heritage</t>
        </is>
      </c>
      <c r="F10" s="2" t="n">
        <v>149.95</v>
      </c>
      <c r="G10" s="2" t="n">
        <v>12</v>
      </c>
      <c r="H10" s="2" t="inlineStr">
        <is>
          <t>36,37,38,39,40,41,42,43,44,45,46</t>
        </is>
      </c>
      <c r="I10" s="2" t="n">
        <v>11</v>
      </c>
      <c r="J10" s="2" t="inlineStr">
        <is>
          <t>https://www.nike.com/it/air-max-90</t>
        </is>
      </c>
      <c r="K10" s="2" t="inlineStr">
        <is>
          <t>2024-11-15 15:01</t>
        </is>
      </c>
    </row>
    <row r="11">
      <c r="A11" s="3" t="inlineStr">
        <is>
          <t>Nike</t>
        </is>
      </c>
      <c r="B11" s="3" t="inlineStr">
        <is>
          <t>Pegasus 41</t>
        </is>
      </c>
      <c r="C11" s="3" t="inlineStr">
        <is>
          <t>Running</t>
        </is>
      </c>
      <c r="D11" s="3" t="inlineStr">
        <is>
          <t>Running</t>
        </is>
      </c>
      <c r="E11" s="3" t="inlineStr">
        <is>
          <t>Strada</t>
        </is>
      </c>
      <c r="F11" s="3" t="n">
        <v>139.95</v>
      </c>
      <c r="G11" s="3" t="n">
        <v>6</v>
      </c>
      <c r="H11" s="3" t="inlineStr">
        <is>
          <t>36,37,38,39,40,41,42,43,44,45</t>
        </is>
      </c>
      <c r="I11" s="3" t="n">
        <v>10</v>
      </c>
      <c r="J11" s="3" t="inlineStr">
        <is>
          <t>https://www.nike.com/it/pegasus-41</t>
        </is>
      </c>
      <c r="K11" s="3" t="inlineStr">
        <is>
          <t>2024-11-15 15:03</t>
        </is>
      </c>
    </row>
    <row r="12">
      <c r="A12" s="2" t="inlineStr">
        <is>
          <t>Nike</t>
        </is>
      </c>
      <c r="B12" s="2" t="inlineStr">
        <is>
          <t>Mercurial Vapor</t>
        </is>
      </c>
      <c r="C12" s="2" t="inlineStr">
        <is>
          <t>Calcio</t>
        </is>
      </c>
      <c r="D12" s="2" t="inlineStr">
        <is>
          <t>Calcio</t>
        </is>
      </c>
      <c r="E12" s="2" t="inlineStr">
        <is>
          <t>Terreno Naturale</t>
        </is>
      </c>
      <c r="F12" s="2" t="n">
        <v>179.95</v>
      </c>
      <c r="G12" s="2" t="n">
        <v>5</v>
      </c>
      <c r="H12" s="2" t="inlineStr">
        <is>
          <t>36,37,38,39,40,41,42,43,44,45</t>
        </is>
      </c>
      <c r="I12" s="2" t="n">
        <v>10</v>
      </c>
      <c r="J12" s="2" t="inlineStr">
        <is>
          <t>https://www.nike.com/it/mercurial</t>
        </is>
      </c>
      <c r="K12" s="2" t="inlineStr">
        <is>
          <t>2024-11-15 15:05</t>
        </is>
      </c>
    </row>
    <row r="13">
      <c r="A13" s="3" t="inlineStr">
        <is>
          <t>Nike</t>
        </is>
      </c>
      <c r="B13" s="3" t="inlineStr">
        <is>
          <t>Benassi JDI</t>
        </is>
      </c>
      <c r="C13" s="3" t="inlineStr">
        <is>
          <t>Sandali</t>
        </is>
      </c>
      <c r="D13" s="3" t="inlineStr">
        <is>
          <t>Sandali</t>
        </is>
      </c>
      <c r="E13" s="3" t="inlineStr">
        <is>
          <t>Slides</t>
        </is>
      </c>
      <c r="F13" s="3" t="n">
        <v>34.95</v>
      </c>
      <c r="G13" s="3" t="n">
        <v>10</v>
      </c>
      <c r="H13" s="3" t="inlineStr">
        <is>
          <t>36,37,38,39,40,41,42,43,44,45</t>
        </is>
      </c>
      <c r="I13" s="3" t="n">
        <v>10</v>
      </c>
      <c r="J13" s="3" t="inlineStr">
        <is>
          <t>https://www.nike.com/it/benassi</t>
        </is>
      </c>
      <c r="K13" s="3" t="inlineStr">
        <is>
          <t>2024-11-15 15:06</t>
        </is>
      </c>
    </row>
    <row r="14">
      <c r="A14" s="2" t="inlineStr">
        <is>
          <t>Adidas</t>
        </is>
      </c>
      <c r="B14" s="2" t="inlineStr">
        <is>
          <t>Stan Smith</t>
        </is>
      </c>
      <c r="C14" s="2" t="inlineStr">
        <is>
          <t>Sneakers</t>
        </is>
      </c>
      <c r="D14" s="2" t="inlineStr">
        <is>
          <t>Sneakers</t>
        </is>
      </c>
      <c r="E14" s="2" t="inlineStr">
        <is>
          <t>Retro/Heritage</t>
        </is>
      </c>
      <c r="F14" s="2" t="n">
        <v>109.95</v>
      </c>
      <c r="G14" s="2" t="n">
        <v>6</v>
      </c>
      <c r="H14" s="2" t="inlineStr">
        <is>
          <t>36,37,38,39,40,41,42,43,44,45</t>
        </is>
      </c>
      <c r="I14" s="2" t="n">
        <v>10</v>
      </c>
      <c r="J14" s="2" t="inlineStr">
        <is>
          <t>https://www.adidas.it/stan-smith</t>
        </is>
      </c>
      <c r="K14" s="2" t="inlineStr">
        <is>
          <t>2024-11-15 15:20</t>
        </is>
      </c>
    </row>
    <row r="15">
      <c r="A15" s="3" t="inlineStr">
        <is>
          <t>Adidas</t>
        </is>
      </c>
      <c r="B15" s="3" t="inlineStr">
        <is>
          <t>Ultraboost 22</t>
        </is>
      </c>
      <c r="C15" s="3" t="inlineStr">
        <is>
          <t>Running</t>
        </is>
      </c>
      <c r="D15" s="3" t="inlineStr">
        <is>
          <t>Running</t>
        </is>
      </c>
      <c r="E15" s="3" t="inlineStr">
        <is>
          <t>Strada</t>
        </is>
      </c>
      <c r="F15" s="3" t="n">
        <v>189.95</v>
      </c>
      <c r="G15" s="3" t="n">
        <v>8</v>
      </c>
      <c r="H15" s="3" t="inlineStr">
        <is>
          <t>36,37,38,39,40,41,42,43,44,45</t>
        </is>
      </c>
      <c r="I15" s="3" t="n">
        <v>10</v>
      </c>
      <c r="J15" s="3" t="inlineStr">
        <is>
          <t>https://www.adidas.it/ultraboost</t>
        </is>
      </c>
      <c r="K15" s="3" t="inlineStr">
        <is>
          <t>2024-11-15 15:21</t>
        </is>
      </c>
    </row>
    <row r="16">
      <c r="A16" s="2" t="inlineStr">
        <is>
          <t>Adidas</t>
        </is>
      </c>
      <c r="B16" s="2" t="inlineStr">
        <is>
          <t>Predator Elite</t>
        </is>
      </c>
      <c r="C16" s="2" t="inlineStr">
        <is>
          <t>Calcio</t>
        </is>
      </c>
      <c r="D16" s="2" t="inlineStr">
        <is>
          <t>Calcio</t>
        </is>
      </c>
      <c r="E16" s="2" t="inlineStr">
        <is>
          <t>Terreno Naturale</t>
        </is>
      </c>
      <c r="F16" s="2" t="n">
        <v>249.95</v>
      </c>
      <c r="G16" s="2" t="n">
        <v>3</v>
      </c>
      <c r="H16" s="2" t="inlineStr">
        <is>
          <t>36,37,38,39,40,41,42,43,44,45</t>
        </is>
      </c>
      <c r="I16" s="2" t="n">
        <v>10</v>
      </c>
      <c r="J16" s="2" t="inlineStr">
        <is>
          <t>https://www.adidas.it/predator</t>
        </is>
      </c>
      <c r="K16" s="2" t="inlineStr">
        <is>
          <t>2024-11-15 15:22</t>
        </is>
      </c>
    </row>
    <row r="17">
      <c r="A17" s="3" t="inlineStr">
        <is>
          <t>Adidas</t>
        </is>
      </c>
      <c r="B17" s="3" t="inlineStr">
        <is>
          <t>Adilette</t>
        </is>
      </c>
      <c r="C17" s="3" t="inlineStr">
        <is>
          <t>Sandali</t>
        </is>
      </c>
      <c r="D17" s="3" t="inlineStr">
        <is>
          <t>Sandali</t>
        </is>
      </c>
      <c r="E17" s="3" t="inlineStr">
        <is>
          <t>Slides</t>
        </is>
      </c>
      <c r="F17" s="3" t="n">
        <v>29.95</v>
      </c>
      <c r="G17" s="3" t="n">
        <v>12</v>
      </c>
      <c r="H17" s="3" t="inlineStr">
        <is>
          <t>36,37,38,39,40,41,42,43,44,45</t>
        </is>
      </c>
      <c r="I17" s="3" t="n">
        <v>10</v>
      </c>
      <c r="J17" s="3" t="inlineStr">
        <is>
          <t>https://www.adidas.it/adilette</t>
        </is>
      </c>
      <c r="K17" s="3" t="inlineStr">
        <is>
          <t>2024-11-15 15:23</t>
        </is>
      </c>
    </row>
    <row r="18">
      <c r="A18" s="2" t="inlineStr">
        <is>
          <t>Puma</t>
        </is>
      </c>
      <c r="B18" s="2" t="inlineStr">
        <is>
          <t>Suede Classic</t>
        </is>
      </c>
      <c r="C18" s="2" t="inlineStr">
        <is>
          <t>Sneakers</t>
        </is>
      </c>
      <c r="D18" s="2" t="inlineStr">
        <is>
          <t>Sneakers</t>
        </is>
      </c>
      <c r="E18" s="2" t="inlineStr">
        <is>
          <t>Retro/Heritage</t>
        </is>
      </c>
      <c r="F18" s="2" t="n">
        <v>89.95</v>
      </c>
      <c r="G18" s="2" t="n">
        <v>7</v>
      </c>
      <c r="H18" s="2" t="inlineStr">
        <is>
          <t>36,37,38,39,40,41,42,43,44,45</t>
        </is>
      </c>
      <c r="I18" s="2" t="n">
        <v>10</v>
      </c>
      <c r="J18" s="2" t="inlineStr">
        <is>
          <t>https://eu.puma.com/it/suede</t>
        </is>
      </c>
      <c r="K18" s="2" t="inlineStr">
        <is>
          <t>2024-11-15 15:40</t>
        </is>
      </c>
    </row>
    <row r="19">
      <c r="A19" s="3" t="inlineStr">
        <is>
          <t>Puma</t>
        </is>
      </c>
      <c r="B19" s="3" t="inlineStr">
        <is>
          <t>Velocity Nitro</t>
        </is>
      </c>
      <c r="C19" s="3" t="inlineStr">
        <is>
          <t>Running</t>
        </is>
      </c>
      <c r="D19" s="3" t="inlineStr">
        <is>
          <t>Running</t>
        </is>
      </c>
      <c r="E19" s="3" t="inlineStr">
        <is>
          <t>Strada</t>
        </is>
      </c>
      <c r="F19" s="3" t="n">
        <v>119.95</v>
      </c>
      <c r="G19" s="3" t="n">
        <v>5</v>
      </c>
      <c r="H19" s="3" t="inlineStr">
        <is>
          <t>36,37,38,39,40,41,42,43,44,45</t>
        </is>
      </c>
      <c r="I19" s="3" t="n">
        <v>10</v>
      </c>
      <c r="J19" s="3" t="inlineStr">
        <is>
          <t>https://eu.puma.com/it/velocity-nitro</t>
        </is>
      </c>
      <c r="K19" s="3" t="inlineStr">
        <is>
          <t>2024-11-15 15:41</t>
        </is>
      </c>
    </row>
    <row r="20">
      <c r="A20" s="2" t="inlineStr">
        <is>
          <t>Puma</t>
        </is>
      </c>
      <c r="B20" s="2" t="inlineStr">
        <is>
          <t>King Pro</t>
        </is>
      </c>
      <c r="C20" s="2" t="inlineStr">
        <is>
          <t>Calcio</t>
        </is>
      </c>
      <c r="D20" s="2" t="inlineStr">
        <is>
          <t>Calcio</t>
        </is>
      </c>
      <c r="E20" s="2" t="inlineStr">
        <is>
          <t>Terreno Naturale</t>
        </is>
      </c>
      <c r="F20" s="2" t="n">
        <v>99.95</v>
      </c>
      <c r="G20" s="2" t="n">
        <v>2</v>
      </c>
      <c r="H20" s="2" t="inlineStr">
        <is>
          <t>36,37,38,39,40,41,42,43,44,45</t>
        </is>
      </c>
      <c r="I20" s="2" t="n">
        <v>10</v>
      </c>
      <c r="J20" s="2" t="inlineStr">
        <is>
          <t>https://eu.puma.com/it/king-pro</t>
        </is>
      </c>
      <c r="K20" s="2" t="inlineStr">
        <is>
          <t>2024-11-15 15:42</t>
        </is>
      </c>
    </row>
    <row r="21">
      <c r="A21" s="3" t="inlineStr">
        <is>
          <t>New Balance</t>
        </is>
      </c>
      <c r="B21" s="3" t="inlineStr">
        <is>
          <t>574</t>
        </is>
      </c>
      <c r="C21" s="3" t="inlineStr">
        <is>
          <t>Sneakers</t>
        </is>
      </c>
      <c r="D21" s="3" t="inlineStr">
        <is>
          <t>Sneakers</t>
        </is>
      </c>
      <c r="E21" s="3" t="inlineStr">
        <is>
          <t>Retro/Heritage</t>
        </is>
      </c>
      <c r="F21" s="3" t="n">
        <v>99.95</v>
      </c>
      <c r="G21" s="3" t="n">
        <v>8</v>
      </c>
      <c r="H21" s="3" t="inlineStr">
        <is>
          <t>36,37,38,39,40,41,42,43,44,45</t>
        </is>
      </c>
      <c r="I21" s="3" t="n">
        <v>10</v>
      </c>
      <c r="J21" s="3" t="inlineStr">
        <is>
          <t>https://www.newbalance.com/it/574</t>
        </is>
      </c>
      <c r="K21" s="3" t="inlineStr">
        <is>
          <t>2024-11-15 16:00</t>
        </is>
      </c>
    </row>
    <row r="22">
      <c r="A22" s="2" t="inlineStr">
        <is>
          <t>New Balance</t>
        </is>
      </c>
      <c r="B22" s="2" t="inlineStr">
        <is>
          <t>Fresh Foam 1080</t>
        </is>
      </c>
      <c r="C22" s="2" t="inlineStr">
        <is>
          <t>Running</t>
        </is>
      </c>
      <c r="D22" s="2" t="inlineStr">
        <is>
          <t>Running</t>
        </is>
      </c>
      <c r="E22" s="2" t="inlineStr">
        <is>
          <t>Strada</t>
        </is>
      </c>
      <c r="F22" s="2" t="n">
        <v>169.95</v>
      </c>
      <c r="G22" s="2" t="n">
        <v>6</v>
      </c>
      <c r="H22" s="2" t="inlineStr">
        <is>
          <t>36,37,38,39,40,41,42,43,44,45</t>
        </is>
      </c>
      <c r="I22" s="2" t="n">
        <v>10</v>
      </c>
      <c r="J22" s="2" t="inlineStr">
        <is>
          <t>https://www.newbalance.com/it/1080</t>
        </is>
      </c>
      <c r="K22" s="2" t="inlineStr">
        <is>
          <t>2024-11-15 16:01</t>
        </is>
      </c>
    </row>
    <row r="23">
      <c r="A23" s="3" t="inlineStr">
        <is>
          <t>Asics</t>
        </is>
      </c>
      <c r="B23" s="3" t="inlineStr">
        <is>
          <t>Gel-Nimbus 25</t>
        </is>
      </c>
      <c r="C23" s="3" t="inlineStr">
        <is>
          <t>Running</t>
        </is>
      </c>
      <c r="D23" s="3" t="inlineStr">
        <is>
          <t>Running</t>
        </is>
      </c>
      <c r="E23" s="3" t="inlineStr">
        <is>
          <t>Strada</t>
        </is>
      </c>
      <c r="F23" s="3" t="n">
        <v>199.95</v>
      </c>
      <c r="G23" s="3" t="n">
        <v>7</v>
      </c>
      <c r="H23" s="3" t="inlineStr">
        <is>
          <t>36,37,38,39,40,41,42,43,44,45</t>
        </is>
      </c>
      <c r="I23" s="3" t="n">
        <v>10</v>
      </c>
      <c r="J23" s="3" t="inlineStr">
        <is>
          <t>https://www.asics.com/it/gel-nimbus</t>
        </is>
      </c>
      <c r="K23" s="3" t="inlineStr">
        <is>
          <t>2024-11-15 16:15</t>
        </is>
      </c>
    </row>
    <row r="24">
      <c r="A24" s="2" t="inlineStr">
        <is>
          <t>Asics</t>
        </is>
      </c>
      <c r="B24" s="2" t="inlineStr">
        <is>
          <t>Gel-Resolution 9</t>
        </is>
      </c>
      <c r="C24" s="2" t="inlineStr">
        <is>
          <t>Tennis</t>
        </is>
      </c>
      <c r="D24" s="2" t="inlineStr">
        <is>
          <t>Tennis</t>
        </is>
      </c>
      <c r="E24" s="2" t="inlineStr">
        <is>
          <t>Cemento</t>
        </is>
      </c>
      <c r="F24" s="2" t="n">
        <v>149.95</v>
      </c>
      <c r="G24" s="2" t="n">
        <v>4</v>
      </c>
      <c r="H24" s="2" t="inlineStr">
        <is>
          <t>36,37,38,39,40,41,42,43,44,45</t>
        </is>
      </c>
      <c r="I24" s="2" t="n">
        <v>10</v>
      </c>
      <c r="J24" s="2" t="inlineStr">
        <is>
          <t>https://www.asics.com/it/gel-resolution</t>
        </is>
      </c>
      <c r="K24" s="2" t="inlineStr">
        <is>
          <t>2024-11-15 16:16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2" customWidth="1" min="5" max="5"/>
  </cols>
  <sheetData>
    <row r="1" ht="22" customHeight="1">
      <c r="A1" s="1" t="inlineStr">
        <is>
          <t>Brand</t>
        </is>
      </c>
      <c r="B1" s="1" t="inlineStr">
        <is>
          <t>Prezzo Medio (€)</t>
        </is>
      </c>
      <c r="C1" s="1" t="inlineStr">
        <is>
          <t>Prezzo Min (€)</t>
        </is>
      </c>
      <c r="D1" s="1" t="inlineStr">
        <is>
          <t>Prezzo Max (€)</t>
        </is>
      </c>
      <c r="E1" s="1" t="inlineStr">
        <is>
          <t>N. Modelli</t>
        </is>
      </c>
    </row>
    <row r="2">
      <c r="A2" s="4" t="inlineStr">
        <is>
          <t>Diadora</t>
        </is>
      </c>
      <c r="B2" s="4">
        <f>IFERROR(AVERAGEIF('Sample Data'!A2:A1000,A2,'Sample Data'!F2:F1000),"-")</f>
        <v/>
      </c>
      <c r="C2" s="4">
        <f>IFERROR(MINIFS('Sample Data'!F2:F1000,'Sample Data'!A2:A1000,A2),"-")</f>
        <v/>
      </c>
      <c r="D2" s="4">
        <f>IFERROR(MAXIFS('Sample Data'!F2:F1000,'Sample Data'!A2:A1000,A2),"-")</f>
        <v/>
      </c>
      <c r="E2" s="4">
        <f>COUNTIF('Sample Data'!A2:A1000,A2)</f>
        <v/>
      </c>
    </row>
    <row r="3">
      <c r="A3" s="5" t="inlineStr">
        <is>
          <t>Nike</t>
        </is>
      </c>
      <c r="B3" s="5">
        <f>IFERROR(AVERAGEIF('Sample Data'!A2:A1000,A3,'Sample Data'!F2:F1000),"-")</f>
        <v/>
      </c>
      <c r="C3" s="5">
        <f>IFERROR(MINIFS('Sample Data'!F2:F1000,'Sample Data'!A2:A1000,A3),"-")</f>
        <v/>
      </c>
      <c r="D3" s="5">
        <f>IFERROR(MAXIFS('Sample Data'!F2:F1000,'Sample Data'!A2:A1000,A3),"-")</f>
        <v/>
      </c>
      <c r="E3" s="5">
        <f>COUNTIF('Sample Data'!A2:A1000,A3)</f>
        <v/>
      </c>
    </row>
    <row r="4">
      <c r="A4" s="4" t="inlineStr">
        <is>
          <t>Adidas</t>
        </is>
      </c>
      <c r="B4" s="4">
        <f>IFERROR(AVERAGEIF('Sample Data'!A2:A1000,A4,'Sample Data'!F2:F1000),"-")</f>
        <v/>
      </c>
      <c r="C4" s="4">
        <f>IFERROR(MINIFS('Sample Data'!F2:F1000,'Sample Data'!A2:A1000,A4),"-")</f>
        <v/>
      </c>
      <c r="D4" s="4">
        <f>IFERROR(MAXIFS('Sample Data'!F2:F1000,'Sample Data'!A2:A1000,A4),"-")</f>
        <v/>
      </c>
      <c r="E4" s="4">
        <f>COUNTIF('Sample Data'!A2:A1000,A4)</f>
        <v/>
      </c>
    </row>
    <row r="5">
      <c r="A5" s="5" t="inlineStr">
        <is>
          <t>Puma</t>
        </is>
      </c>
      <c r="B5" s="5">
        <f>IFERROR(AVERAGEIF('Sample Data'!A2:A1000,A5,'Sample Data'!F2:F1000),"-")</f>
        <v/>
      </c>
      <c r="C5" s="5">
        <f>IFERROR(MINIFS('Sample Data'!F2:F1000,'Sample Data'!A2:A1000,A5),"-")</f>
        <v/>
      </c>
      <c r="D5" s="5">
        <f>IFERROR(MAXIFS('Sample Data'!F2:F1000,'Sample Data'!A2:A1000,A5),"-")</f>
        <v/>
      </c>
      <c r="E5" s="5">
        <f>COUNTIF('Sample Data'!A2:A1000,A5)</f>
        <v/>
      </c>
    </row>
    <row r="6">
      <c r="A6" s="4" t="inlineStr">
        <is>
          <t>New Balance</t>
        </is>
      </c>
      <c r="B6" s="4">
        <f>IFERROR(AVERAGEIF('Sample Data'!A2:A1000,A6,'Sample Data'!F2:F1000),"-")</f>
        <v/>
      </c>
      <c r="C6" s="4">
        <f>IFERROR(MINIFS('Sample Data'!F2:F1000,'Sample Data'!A2:A1000,A6),"-")</f>
        <v/>
      </c>
      <c r="D6" s="4">
        <f>IFERROR(MAXIFS('Sample Data'!F2:F1000,'Sample Data'!A2:A1000,A6),"-")</f>
        <v/>
      </c>
      <c r="E6" s="4">
        <f>COUNTIF('Sample Data'!A2:A1000,A6)</f>
        <v/>
      </c>
    </row>
    <row r="7">
      <c r="A7" s="5" t="inlineStr">
        <is>
          <t>Asics</t>
        </is>
      </c>
      <c r="B7" s="5">
        <f>IFERROR(AVERAGEIF('Sample Data'!A2:A1000,A7,'Sample Data'!F2:F1000),"-")</f>
        <v/>
      </c>
      <c r="C7" s="5">
        <f>IFERROR(MINIFS('Sample Data'!F2:F1000,'Sample Data'!A2:A1000,A7),"-")</f>
        <v/>
      </c>
      <c r="D7" s="5">
        <f>IFERROR(MAXIFS('Sample Data'!F2:F1000,'Sample Data'!A2:A1000,A7),"-")</f>
        <v/>
      </c>
      <c r="E7" s="5">
        <f>COUNTIF('Sample Data'!A2:A1000,A7)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2026-03-03T15:54:24Z</dcterms:created>
  <dcterms:modified xmlns:dcterms="http://purl.org/dc/terms/" xmlns:xsi="http://www.w3.org/2001/XMLSchema-instance" xsi:type="dcterms:W3CDTF">2026-03-03T15:54:24Z</dcterms:modified>
</cp:coreProperties>
</file>